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e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<sst xmlns="http://schemas.openxmlformats.org/spreadsheetml/2006/main" count="74" uniqueCount="54">
  <si>
    <t xml:space="preserve">ID_Credito</t>
  </si>
  <si>
    <t xml:space="preserve">Fecha_Desembolso</t>
  </si>
  <si>
    <t xml:space="preserve">Valor_Credito</t>
  </si>
  <si>
    <t xml:space="preserve">Saldo_Vigente</t>
  </si>
  <si>
    <t xml:space="preserve">Valor_Mora</t>
  </si>
  <si>
    <t xml:space="preserve">Estado</t>
  </si>
  <si>
    <t xml:space="preserve">⚠ PROBLEMAS CONOCIDOS DE ESTE ARCHIVO:</t>
  </si>
  <si>
    <t xml:space="preserve">- Fila 4: CR-003 duplicado</t>
  </si>
  <si>
    <t xml:space="preserve">- Filas 5, 8, 20: Saldo_Vigente vacío</t>
  </si>
  <si>
    <t xml:space="preserve">- Mora elevada: verificar índice &gt; 4%</t>
  </si>
  <si>
    <t xml:space="preserve">CR-001</t>
  </si>
  <si>
    <t xml:space="preserve">05/01/2025</t>
  </si>
  <si>
    <t xml:space="preserve">Al dia</t>
  </si>
  <si>
    <t xml:space="preserve">CR-002</t>
  </si>
  <si>
    <t xml:space="preserve">12/01/2025</t>
  </si>
  <si>
    <t xml:space="preserve">En mora</t>
  </si>
  <si>
    <t xml:space="preserve">CR-003</t>
  </si>
  <si>
    <t xml:space="preserve">18/01/2025</t>
  </si>
  <si>
    <t xml:space="preserve">CR-004</t>
  </si>
  <si>
    <t xml:space="preserve">25/01/2025</t>
  </si>
  <si>
    <t xml:space="preserve">CR-005</t>
  </si>
  <si>
    <t xml:space="preserve">02/02/2025</t>
  </si>
  <si>
    <t xml:space="preserve">CR-006</t>
  </si>
  <si>
    <t xml:space="preserve">08/02/2025</t>
  </si>
  <si>
    <t xml:space="preserve">CR-007</t>
  </si>
  <si>
    <t xml:space="preserve">14/02/2025</t>
  </si>
  <si>
    <t xml:space="preserve">CR-008</t>
  </si>
  <si>
    <t xml:space="preserve">20/02/2025</t>
  </si>
  <si>
    <t xml:space="preserve">CR-009</t>
  </si>
  <si>
    <t xml:space="preserve">01/03/2025</t>
  </si>
  <si>
    <t xml:space="preserve">CR-010</t>
  </si>
  <si>
    <t xml:space="preserve">10/03/2025</t>
  </si>
  <si>
    <t xml:space="preserve">CR-011</t>
  </si>
  <si>
    <t xml:space="preserve">22/03/2025</t>
  </si>
  <si>
    <t xml:space="preserve">CR-012</t>
  </si>
  <si>
    <t xml:space="preserve">28/03/2025</t>
  </si>
  <si>
    <t xml:space="preserve">CR-013</t>
  </si>
  <si>
    <t xml:space="preserve">05/04/2025</t>
  </si>
  <si>
    <t xml:space="preserve">CR-014</t>
  </si>
  <si>
    <t xml:space="preserve">15/04/2025</t>
  </si>
  <si>
    <t xml:space="preserve">CR-015</t>
  </si>
  <si>
    <t xml:space="preserve">25/04/2025</t>
  </si>
  <si>
    <t xml:space="preserve">CR-016</t>
  </si>
  <si>
    <t xml:space="preserve">30/04/2025</t>
  </si>
  <si>
    <t xml:space="preserve">CR-017</t>
  </si>
  <si>
    <t xml:space="preserve">08/05/2025</t>
  </si>
  <si>
    <t xml:space="preserve">CR-018</t>
  </si>
  <si>
    <t xml:space="preserve">18/05/2025</t>
  </si>
  <si>
    <t xml:space="preserve">TOTALES</t>
  </si>
  <si>
    <t xml:space="preserve">CR-019</t>
  </si>
  <si>
    <t xml:space="preserve">28/05/2025</t>
  </si>
  <si>
    <t xml:space="preserve">Indice de Mora:</t>
  </si>
  <si>
    <t xml:space="preserve">Umbral critico:</t>
  </si>
  <si>
    <t xml:space="preserve">Alerta mora: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</si>
</sst>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1"/>
      <color rgb="FFCC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75623"/>
        <bgColor rgb="FF333300"/>
      </patternFill>
    </fill>
    <fill>
      <patternFill patternType="solid">
        <fgColor rgb="FFFFCCCC"/>
        <bgColor rgb="FFCCCCFF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customFormat="false" ht="15" hidden="false" customHeight="false" outlineLevel="0" collapsed="false">
      <c r="H2" s="0" t="s">
        <v>7</v>
      </c>
    </row>
    <row r="3" customFormat="false" ht="15" hidden="false" customHeight="false" outlineLevel="0" collapsed="false">
      <c r="H3" s="0" t="s">
        <v>8</v>
      </c>
    </row>
    <row r="4" customFormat="false" ht="15" hidden="false" customHeight="false" outlineLevel="0" collapsed="false">
      <c r="H4" s="0" t="s">
        <v>9</v>
      </c>
    </row>
    <row r="5" customFormat="false" ht="15" hidden="false" customHeight="false" outlineLevel="0" collapsed="false">
      <c r="A5" s="3" t="s">
        <v>10</v>
      </c>
      <c r="B5" s="3" t="s">
        <v>11</v>
      </c>
      <c r="C5" s="3" t="n">
        <v>12000000</v>
      </c>
      <c r="D5" s="3" t="n">
        <v>9200000</v>
      </c>
      <c r="E5" s="3" t="n">
        <v>0</v>
      </c>
      <c r="F5" s="3" t="s">
        <v>12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n">
        <v>8500000</v>
      </c>
      <c r="D6" s="4" t="n">
        <v>6500000</v>
      </c>
      <c r="E6" s="0" t="n">
        <v>650000</v>
      </c>
      <c r="F6" s="5" t="s">
        <v>15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n">
        <v>15000000</v>
      </c>
      <c r="D7" s="0" t="n">
        <v>13200000</v>
      </c>
      <c r="E7" s="0" t="n">
        <v>980000</v>
      </c>
      <c r="F7" s="0" t="s">
        <v>15</v>
      </c>
    </row>
    <row r="8" customFormat="false" ht="15" hidden="false" customHeight="false" outlineLevel="0" collapsed="false">
      <c r="A8" s="0" t="s">
        <v>16</v>
      </c>
      <c r="B8" s="0" t="s">
        <v>17</v>
      </c>
      <c r="C8" s="0" t="n">
        <v>15000000</v>
      </c>
      <c r="D8" s="0" t="n">
        <v>13200000</v>
      </c>
      <c r="E8" s="0" t="n">
        <v>980000</v>
      </c>
      <c r="F8" s="0" t="s">
        <v>15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n">
        <v>6000000</v>
      </c>
      <c r="D9" s="4"/>
      <c r="E9" s="0" t="n">
        <v>0</v>
      </c>
      <c r="F9" s="5" t="s">
        <v>12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20000000</v>
      </c>
      <c r="D10" s="0" t="n">
        <v>18600000</v>
      </c>
      <c r="E10" s="0" t="n">
        <v>0</v>
      </c>
      <c r="F10" s="0" t="s">
        <v>12</v>
      </c>
    </row>
    <row r="11" customFormat="false" ht="15" hidden="false" customHeight="false" outlineLevel="0" collapsed="false">
      <c r="A11" s="0" t="s">
        <v>22</v>
      </c>
      <c r="B11" s="0" t="s">
        <v>23</v>
      </c>
      <c r="C11" s="0" t="n">
        <v>9000000</v>
      </c>
      <c r="D11" s="0" t="n">
        <v>7400000</v>
      </c>
      <c r="E11" s="0" t="n">
        <v>740000</v>
      </c>
      <c r="F11" s="0" t="s">
        <v>15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0" t="n">
        <v>11000000</v>
      </c>
      <c r="E12" s="0" t="n">
        <v>0</v>
      </c>
      <c r="F12" s="0" t="s">
        <v>12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n">
        <v>7500000</v>
      </c>
      <c r="D13" s="0" t="n">
        <v>6700000</v>
      </c>
      <c r="E13" s="0" t="n">
        <v>0</v>
      </c>
      <c r="F13" s="0" t="s">
        <v>12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0" t="n">
        <v>18000000</v>
      </c>
      <c r="D14" s="0" t="n">
        <v>16200000</v>
      </c>
      <c r="E14" s="0" t="n">
        <v>1200000</v>
      </c>
      <c r="F14" s="0" t="s">
        <v>15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0" t="n">
        <v>5000000</v>
      </c>
      <c r="D15" s="0" t="n">
        <v>4100000</v>
      </c>
      <c r="E15" s="0" t="n">
        <v>410000</v>
      </c>
      <c r="F15" s="0" t="s">
        <v>15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0" t="n">
        <v>13000000</v>
      </c>
      <c r="D16" s="0" t="n">
        <v>11800000</v>
      </c>
      <c r="E16" s="0" t="n">
        <v>0</v>
      </c>
      <c r="F16" s="0" t="s">
        <v>12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n">
        <v>9500000</v>
      </c>
      <c r="D17" s="0" t="n">
        <v>8600000</v>
      </c>
      <c r="E17" s="0" t="n">
        <v>860000</v>
      </c>
      <c r="F17" s="0" t="s">
        <v>15</v>
      </c>
    </row>
    <row r="18" customFormat="false" ht="15" hidden="false" customHeight="false" outlineLevel="0" collapsed="false">
      <c r="A18" s="0" t="s">
        <v>36</v>
      </c>
      <c r="B18" s="0" t="s">
        <v>37</v>
      </c>
      <c r="C18" s="0" t="n">
        <v>16000000</v>
      </c>
      <c r="D18" s="0" t="n">
        <v>14400000</v>
      </c>
      <c r="E18" s="0" t="n">
        <v>0</v>
      </c>
      <c r="F18" s="0" t="s">
        <v>12</v>
      </c>
    </row>
    <row r="19" customFormat="false" ht="15" hidden="false" customHeight="false" outlineLevel="0" collapsed="false">
      <c r="A19" s="0" t="s">
        <v>38</v>
      </c>
      <c r="B19" s="0" t="s">
        <v>39</v>
      </c>
      <c r="C19" s="0" t="n">
        <v>7000000</v>
      </c>
      <c r="D19" s="0" t="n">
        <v>6100000</v>
      </c>
      <c r="E19" s="0" t="n">
        <v>0</v>
      </c>
      <c r="F19" s="0" t="s">
        <v>12</v>
      </c>
    </row>
    <row r="20" customFormat="false" ht="15" hidden="false" customHeight="false" outlineLevel="0" collapsed="false">
      <c r="A20" s="0" t="s">
        <v>40</v>
      </c>
      <c r="B20" s="0" t="s">
        <v>41</v>
      </c>
      <c r="C20" s="0" t="n">
        <v>10000000</v>
      </c>
      <c r="D20" s="0" t="n">
        <v>9200000</v>
      </c>
      <c r="E20" s="0" t="n">
        <v>920000</v>
      </c>
      <c r="F20" s="0" t="s">
        <v>15</v>
      </c>
    </row>
    <row r="21" customFormat="false" ht="15" hidden="false" customHeight="false" outlineLevel="0" collapsed="false">
      <c r="A21" s="0" t="s">
        <v>42</v>
      </c>
      <c r="B21" s="0" t="s">
        <v>43</v>
      </c>
      <c r="C21" s="0" t="n">
        <v>14000000</v>
      </c>
      <c r="D21" s="4" t="n">
        <v>12800000</v>
      </c>
      <c r="E21" s="0" t="n">
        <v>0</v>
      </c>
      <c r="F21" s="5" t="s">
        <v>12</v>
      </c>
    </row>
    <row r="22" customFormat="false" ht="15" hidden="false" customHeight="false" outlineLevel="0" collapsed="false">
      <c r="A22" s="0" t="s">
        <v>44</v>
      </c>
      <c r="B22" s="0" t="s">
        <v>45</v>
      </c>
      <c r="C22" s="0" t="n">
        <v>8000000</v>
      </c>
      <c r="D22" s="0" t="n">
        <v>7000000</v>
      </c>
      <c r="E22" s="0" t="n">
        <v>700000</v>
      </c>
      <c r="F22" s="0" t="s">
        <v>15</v>
      </c>
    </row>
    <row r="23" customFormat="false" ht="15" hidden="false" customHeight="false" outlineLevel="0" collapsed="false">
      <c r="A23" s="0" t="s">
        <v>46</v>
      </c>
      <c r="B23" s="0" t="s">
        <v>47</v>
      </c>
      <c r="C23" s="6" t="s">
        <v>48</v>
      </c>
      <c r="D23" s="7" t="n">
        <f aca="false">SUM(D2:D21)</f>
        <v>158000000</v>
      </c>
      <c r="E23" s="7" t="n">
        <f aca="false">SUM(E2:E21)</f>
        <v>6740000</v>
      </c>
      <c r="F23" s="5" t="s">
        <v>12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0" t="n">
        <v>6500000</v>
      </c>
      <c r="E24" s="0" t="n">
        <v>0</v>
      </c>
      <c r="F24" s="0" t="s">
        <v>12</v>
      </c>
    </row>
    <row r="25" customFormat="false" ht="15" hidden="false" customHeight="false" outlineLevel="0" collapsed="false">
      <c r="C25" s="6" t="s">
        <v>51</v>
      </c>
      <c r="D25" s="8" t="n">
        <f aca="false">E23/D23</f>
        <v>0.0426582278481013</v>
      </c>
    </row>
    <row r="26" customFormat="false" ht="15" hidden="false" customHeight="false" outlineLevel="0" collapsed="false">
      <c r="C26" s="6" t="s">
        <v>52</v>
      </c>
      <c r="D26" s="9" t="n">
        <v>0.04</v>
      </c>
    </row>
    <row r="27" customFormat="false" ht="15" hidden="false" customHeight="false" outlineLevel="0" collapsed="false">
      <c r="C27" s="6" t="s">
        <v>53</v>
      </c>
      <c r="D27" s="10" t="str">
        <f aca="false">IF(D25&gt;D26,"⚠ SUPERA UMBRAL — ACTIVAR COMITE","OK")</f>
        <v>⚠ SUPERA UMBRAL — ACTIVAR COMITE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2026-06-07T03:43:50Z</dcterms:created>
  <dc:creator>openpyxl</dc:creator>
  <dc:description/>
  <dc:language>en-US</dc:language>
  <cp:lastModifiedBy/>
  <dcterms:modified xsi:type="dcterms:W3CDTF">2026-06-07T03:43:50Z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